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ezva\Desktop\TEST\entro\"/>
    </mc:Choice>
  </mc:AlternateContent>
  <bookViews>
    <workbookView xWindow="0" yWindow="0" windowWidth="23040" windowHeight="9075" activeTab="2"/>
  </bookViews>
  <sheets>
    <sheet name="a|b" sheetId="3" r:id="rId1"/>
    <sheet name="b|a" sheetId="5" r:id="rId2"/>
    <sheet name="a,b" sheetId="2" r:id="rId3"/>
  </sheets>
  <externalReferences>
    <externalReference r:id="rId4"/>
  </externalReferences>
  <definedNames>
    <definedName name="eng">[1]База!$C$2:$D$27</definedName>
    <definedName name="русс">[1]База!$A$2:$B$33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2" i="2" l="1"/>
  <c r="B12" i="2"/>
  <c r="G7" i="2"/>
  <c r="E11" i="5"/>
  <c r="P6" i="5"/>
  <c r="P3" i="5"/>
  <c r="P4" i="5"/>
  <c r="P5" i="5"/>
  <c r="P2" i="5"/>
  <c r="B14" i="5" l="1"/>
  <c r="B13" i="5"/>
  <c r="B12" i="5"/>
  <c r="B11" i="5"/>
  <c r="B16" i="5" s="1"/>
  <c r="B10" i="5"/>
  <c r="B9" i="5"/>
  <c r="C7" i="5"/>
  <c r="I6" i="5"/>
  <c r="O5" i="5"/>
  <c r="F5" i="5"/>
  <c r="O4" i="5"/>
  <c r="F4" i="5"/>
  <c r="O3" i="5"/>
  <c r="F3" i="5"/>
  <c r="O2" i="5"/>
  <c r="B18" i="5" s="1"/>
  <c r="F2" i="5"/>
  <c r="B18" i="3"/>
  <c r="B17" i="3"/>
  <c r="E7" i="3"/>
  <c r="B12" i="3" s="1"/>
  <c r="D7" i="3"/>
  <c r="C7" i="3"/>
  <c r="B7" i="3"/>
  <c r="B15" i="5" l="1"/>
  <c r="B11" i="3" l="1"/>
  <c r="B16" i="3"/>
  <c r="B15" i="3"/>
  <c r="B14" i="3"/>
  <c r="B13" i="3"/>
  <c r="B10" i="3"/>
  <c r="G6" i="2" l="1"/>
  <c r="K29" i="2"/>
  <c r="K28" i="2"/>
  <c r="K23" i="2"/>
  <c r="K22" i="2"/>
  <c r="K30" i="2" s="1"/>
  <c r="K21" i="2"/>
  <c r="K11" i="2"/>
  <c r="D7" i="2"/>
  <c r="M21" i="2" s="1"/>
  <c r="C7" i="2"/>
  <c r="L21" i="2" s="1"/>
  <c r="B7" i="2"/>
  <c r="F4" i="2"/>
  <c r="M5" i="2" s="1"/>
  <c r="M3" i="2"/>
  <c r="L3" i="2"/>
  <c r="K3" i="2"/>
  <c r="K12" i="2" s="1"/>
  <c r="F3" i="2"/>
  <c r="M4" i="2" s="1"/>
  <c r="F2" i="2"/>
  <c r="K4" i="2" l="1"/>
  <c r="M23" i="2"/>
  <c r="L4" i="2"/>
  <c r="L22" i="2"/>
  <c r="K31" i="2" s="1"/>
  <c r="M22" i="2"/>
  <c r="K32" i="2" s="1"/>
  <c r="L23" i="2"/>
  <c r="K5" i="2"/>
  <c r="L5" i="2"/>
  <c r="K34" i="2" l="1"/>
  <c r="C10" i="2" s="1"/>
  <c r="K14" i="2"/>
  <c r="K13" i="2"/>
  <c r="K16" i="2" l="1"/>
  <c r="B10" i="2" s="1"/>
</calcChain>
</file>

<file path=xl/sharedStrings.xml><?xml version="1.0" encoding="utf-8"?>
<sst xmlns="http://schemas.openxmlformats.org/spreadsheetml/2006/main" count="131" uniqueCount="58">
  <si>
    <t>a1</t>
  </si>
  <si>
    <t>p(b/a)</t>
  </si>
  <si>
    <t>b1</t>
  </si>
  <si>
    <t>b2</t>
  </si>
  <si>
    <t>b3</t>
  </si>
  <si>
    <t>p(a,b)</t>
  </si>
  <si>
    <t>a2</t>
  </si>
  <si>
    <t>p(a1)</t>
  </si>
  <si>
    <t>m</t>
  </si>
  <si>
    <t>a3</t>
  </si>
  <si>
    <t>p(a2)</t>
  </si>
  <si>
    <t>p(a3)</t>
  </si>
  <si>
    <t>матрица</t>
  </si>
  <si>
    <t>H(A)+H(B/A)</t>
  </si>
  <si>
    <t>H(B)+(A/B)</t>
  </si>
  <si>
    <t>Энтропии</t>
  </si>
  <si>
    <t>H(A,B)</t>
  </si>
  <si>
    <t>H(A)</t>
  </si>
  <si>
    <t>H(a1)</t>
  </si>
  <si>
    <t>H(a2)</t>
  </si>
  <si>
    <t>H(a3)</t>
  </si>
  <si>
    <t>H(B/A)нер</t>
  </si>
  <si>
    <t>p(a/b)</t>
  </si>
  <si>
    <t>p(b1)</t>
  </si>
  <si>
    <t>p(b2)</t>
  </si>
  <si>
    <t>p(b3)</t>
  </si>
  <si>
    <t>H(B)max</t>
  </si>
  <si>
    <t>H(B)</t>
  </si>
  <si>
    <t>H(b1)</t>
  </si>
  <si>
    <t>H(b2)</t>
  </si>
  <si>
    <t>H(b3)</t>
  </si>
  <si>
    <t>H(A/B)неравн</t>
  </si>
  <si>
    <t>p(b)</t>
  </si>
  <si>
    <t>H(b4)</t>
  </si>
  <si>
    <t>H(A/B) р</t>
  </si>
  <si>
    <t>=</t>
  </si>
  <si>
    <t>ref</t>
  </si>
  <si>
    <t>1.954</t>
  </si>
  <si>
    <t>1.913</t>
  </si>
  <si>
    <t>1.718</t>
  </si>
  <si>
    <t>1.684</t>
  </si>
  <si>
    <t>1.923</t>
  </si>
  <si>
    <t>1.631</t>
  </si>
  <si>
    <t>1.739</t>
  </si>
  <si>
    <t>1.738</t>
  </si>
  <si>
    <t>n</t>
  </si>
  <si>
    <t>p(a)</t>
  </si>
  <si>
    <t>формулы</t>
  </si>
  <si>
    <t>H(A/B) н</t>
  </si>
  <si>
    <t>b4</t>
  </si>
  <si>
    <t>a4</t>
  </si>
  <si>
    <t>p(a4)</t>
  </si>
  <si>
    <t>p(b4)</t>
  </si>
  <si>
    <t>H(A)max</t>
  </si>
  <si>
    <t>равновероятный</t>
  </si>
  <si>
    <t>H(a4)</t>
  </si>
  <si>
    <t>H(B/A) равн</t>
  </si>
  <si>
    <t>H(B/A)неравн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</si>
</sst>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0" fontId="1" fillId="0" borderId="0" xfId="1"/>
    <xf numFmtId="0" fontId="1" fillId="0" borderId="1" xfId="1" applyBorder="1"/>
    <xf numFmtId="164" fontId="1" fillId="0" borderId="1" xfId="1" applyNumberFormat="1" applyBorder="1"/>
    <xf numFmtId="164" fontId="1" fillId="0" borderId="0" xfId="1" applyNumberFormat="1"/>
    <xf numFmtId="0" fontId="1" fillId="0" borderId="0" xfId="1" applyBorder="1"/>
    <xf numFmtId="164" fontId="1" fillId="0" borderId="0" xfId="1" applyNumberFormat="1" applyBorder="1"/>
    <xf numFmtId="0" fontId="0" fillId="0" borderId="1" xfId="0" applyBorder="1"/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applyFill="1" applyBorder="1" applyAlignment="1">
      <alignment horizontal="right"/>
    </xf>
    <xf numFmtId="0" fontId="0" fillId="0" borderId="0" xfId="0" applyAlignment="1">
      <alignment horizontal="center"/>
    </xf>
    <xf numFmtId="0" fontId="1" fillId="0" borderId="2" xfId="1" applyBorder="1"/>
    <xf numFmtId="0" fontId="1" fillId="0" borderId="3" xfId="1" applyBorder="1"/>
    <xf numFmtId="0" fontId="1" fillId="0" borderId="4" xfId="1" applyBorder="1"/>
    <xf numFmtId="0" fontId="1" fillId="0" borderId="5" xfId="1" applyBorder="1"/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0" fillId="0" borderId="2" xfId="0" applyBorder="1"/>
    <xf numFmtId="164" fontId="0" fillId="0" borderId="4" xfId="0" applyNumberFormat="1" applyBorder="1"/>
    <xf numFmtId="0" fontId="0" fillId="0" borderId="5" xfId="0" applyBorder="1"/>
    <xf numFmtId="164" fontId="0" fillId="0" borderId="6" xfId="0" applyNumberFormat="1" applyBorder="1"/>
    <xf numFmtId="0" fontId="0" fillId="0" borderId="7" xfId="0" applyBorder="1"/>
    <xf numFmtId="164" fontId="0" fillId="0" borderId="9" xfId="0" applyNumberFormat="1" applyBorder="1"/>
    <xf numFmtId="164" fontId="1" fillId="0" borderId="4" xfId="1" applyNumberFormat="1" applyBorder="1"/>
    <xf numFmtId="164" fontId="1" fillId="0" borderId="6" xfId="1" applyNumberFormat="1" applyBorder="1"/>
    <xf numFmtId="164" fontId="1" fillId="0" borderId="9" xfId="1" applyNumberFormat="1" applyBorder="1"/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71419</xdr:colOff>
      <xdr:row>19</xdr:row>
      <xdr:rowOff>53382</xdr:rowOff>
    </xdr:from>
    <xdr:to>
      <xdr:col>12</xdr:col>
      <xdr:colOff>475006</xdr:colOff>
      <xdr:row>42</xdr:row>
      <xdr:rowOff>11709</xdr:rowOff>
    </xdr:to>
    <xdr:pic>
      <xdr:nvPicPr>
        <xdr:cNvPr id="2" name="Рисунок 1" descr="C:\Users\Nezva\Desktop\TEST\entro\Screenshot 2026-04-15 111444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19" y="3672882"/>
          <a:ext cx="7751444" cy="43398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ezva/Downloads/&#1072;&#1083;&#1092;&#1072;&#1074;&#1080;&#109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База"/>
      <sheetName val="ba"/>
      <sheetName val="ba(2)"/>
      <sheetName val="ba(3)"/>
      <sheetName val="Пример3-5"/>
      <sheetName val="Задача1.8"/>
      <sheetName val="Задача1.9"/>
      <sheetName val="Задача1.10"/>
      <sheetName val="Задача1.11"/>
      <sheetName val="Задача1.12"/>
      <sheetName val="Задача7"/>
      <sheetName val="Задача9"/>
    </sheetNames>
    <sheetDataSet>
      <sheetData sheetId="0" refreshError="1"/>
      <sheetData sheetId="1">
        <row r="2">
          <cell r="A2" t="str">
            <v>а</v>
          </cell>
          <cell r="B2">
            <v>6.2899999999999998E-2</v>
          </cell>
          <cell r="C2" t="str">
            <v>a</v>
          </cell>
          <cell r="D2">
            <v>7.9600000000000004E-2</v>
          </cell>
        </row>
        <row r="3">
          <cell r="A3" t="str">
            <v>б</v>
          </cell>
          <cell r="B3">
            <v>1.14E-2</v>
          </cell>
          <cell r="C3" t="str">
            <v>b</v>
          </cell>
          <cell r="D3">
            <v>1.6E-2</v>
          </cell>
        </row>
        <row r="4">
          <cell r="A4" t="str">
            <v>в</v>
          </cell>
          <cell r="B4">
            <v>3.5499999999999997E-2</v>
          </cell>
          <cell r="C4" t="str">
            <v>c</v>
          </cell>
          <cell r="D4">
            <v>2.8400000000000002E-2</v>
          </cell>
        </row>
        <row r="5">
          <cell r="A5" t="str">
            <v>г</v>
          </cell>
          <cell r="B5">
            <v>8.3000000000000001E-3</v>
          </cell>
          <cell r="C5" t="str">
            <v>d</v>
          </cell>
          <cell r="D5">
            <v>4.0099999999999997E-2</v>
          </cell>
        </row>
        <row r="6">
          <cell r="A6" t="str">
            <v>д</v>
          </cell>
          <cell r="B6">
            <v>2.6499999999999999E-2</v>
          </cell>
          <cell r="C6" t="str">
            <v>e</v>
          </cell>
          <cell r="D6">
            <v>0.12859999999999999</v>
          </cell>
        </row>
        <row r="7">
          <cell r="A7" t="str">
            <v>е</v>
          </cell>
          <cell r="B7">
            <v>7.3200000000000001E-2</v>
          </cell>
          <cell r="C7" t="str">
            <v>f</v>
          </cell>
          <cell r="D7">
            <v>2.6200000000000001E-2</v>
          </cell>
        </row>
        <row r="8">
          <cell r="A8" t="str">
            <v>ж</v>
          </cell>
          <cell r="B8">
            <v>7.9000000000000008E-3</v>
          </cell>
          <cell r="C8" t="str">
            <v>g</v>
          </cell>
          <cell r="D8">
            <v>1.9900000000000001E-2</v>
          </cell>
        </row>
        <row r="9">
          <cell r="A9" t="str">
            <v>з</v>
          </cell>
          <cell r="B9">
            <v>1.3299999999999999E-2</v>
          </cell>
          <cell r="C9" t="str">
            <v>h</v>
          </cell>
          <cell r="D9">
            <v>5.3900000000000003E-2</v>
          </cell>
        </row>
        <row r="10">
          <cell r="A10" t="str">
            <v>и</v>
          </cell>
          <cell r="B10">
            <v>5.7700000000000001E-2</v>
          </cell>
          <cell r="C10" t="str">
            <v>i</v>
          </cell>
          <cell r="D10">
            <v>7.7700000000000005E-2</v>
          </cell>
        </row>
        <row r="11">
          <cell r="A11" t="str">
            <v>й</v>
          </cell>
          <cell r="B11">
            <v>1.2500000000000001E-2</v>
          </cell>
          <cell r="C11" t="str">
            <v>j</v>
          </cell>
          <cell r="D11">
            <v>1.6000000000000001E-3</v>
          </cell>
        </row>
        <row r="12">
          <cell r="A12" t="str">
            <v>к</v>
          </cell>
          <cell r="B12">
            <v>3.0200000000000001E-2</v>
          </cell>
          <cell r="C12" t="str">
            <v>k</v>
          </cell>
          <cell r="D12">
            <v>4.1000000000000003E-3</v>
          </cell>
        </row>
        <row r="13">
          <cell r="A13" t="str">
            <v>л</v>
          </cell>
          <cell r="B13">
            <v>2.9899999999999999E-2</v>
          </cell>
          <cell r="C13" t="str">
            <v>l</v>
          </cell>
          <cell r="D13">
            <v>3.5099999999999999E-2</v>
          </cell>
        </row>
        <row r="14">
          <cell r="A14" t="str">
            <v>м</v>
          </cell>
          <cell r="B14">
            <v>2.75E-2</v>
          </cell>
          <cell r="C14" t="str">
            <v>m</v>
          </cell>
          <cell r="D14">
            <v>2.4299999999999999E-2</v>
          </cell>
        </row>
        <row r="15">
          <cell r="A15" t="str">
            <v>н</v>
          </cell>
          <cell r="B15">
            <v>4.9000000000000002E-2</v>
          </cell>
          <cell r="C15" t="str">
            <v>n</v>
          </cell>
          <cell r="D15">
            <v>7.51E-2</v>
          </cell>
        </row>
        <row r="16">
          <cell r="A16" t="str">
            <v>о</v>
          </cell>
          <cell r="B16">
            <v>7.6399999999999996E-2</v>
          </cell>
          <cell r="C16" t="str">
            <v>o</v>
          </cell>
          <cell r="D16">
            <v>6.6199999999999995E-2</v>
          </cell>
        </row>
        <row r="17">
          <cell r="A17" t="str">
            <v>п</v>
          </cell>
          <cell r="B17">
            <v>3.3000000000000002E-2</v>
          </cell>
          <cell r="C17" t="str">
            <v>p</v>
          </cell>
          <cell r="D17">
            <v>1.8100000000000002E-2</v>
          </cell>
        </row>
        <row r="18">
          <cell r="A18" t="str">
            <v>р</v>
          </cell>
          <cell r="B18">
            <v>4.5900000000000003E-2</v>
          </cell>
          <cell r="C18" t="str">
            <v>q</v>
          </cell>
          <cell r="D18">
            <v>1.6999999999999999E-3</v>
          </cell>
        </row>
        <row r="19">
          <cell r="A19" t="str">
            <v>с</v>
          </cell>
          <cell r="B19">
            <v>4.0399999999999998E-2</v>
          </cell>
          <cell r="C19" t="str">
            <v>r</v>
          </cell>
          <cell r="D19">
            <v>6.83E-2</v>
          </cell>
        </row>
        <row r="20">
          <cell r="A20" t="str">
            <v>т</v>
          </cell>
          <cell r="B20">
            <v>5.4899999999999997E-2</v>
          </cell>
          <cell r="C20" t="str">
            <v>s</v>
          </cell>
          <cell r="D20">
            <v>6.6199999999999995E-2</v>
          </cell>
        </row>
        <row r="21">
          <cell r="A21" t="str">
            <v>у</v>
          </cell>
          <cell r="B21">
            <v>2.2200000000000001E-2</v>
          </cell>
          <cell r="C21" t="str">
            <v>t</v>
          </cell>
          <cell r="D21">
            <v>9.7199999999999995E-2</v>
          </cell>
        </row>
        <row r="22">
          <cell r="A22" t="str">
            <v>ф</v>
          </cell>
          <cell r="B22">
            <v>3.5999999999999999E-3</v>
          </cell>
          <cell r="C22" t="str">
            <v>u</v>
          </cell>
          <cell r="D22">
            <v>2.4799999999999999E-2</v>
          </cell>
        </row>
        <row r="23">
          <cell r="A23" t="str">
            <v>х</v>
          </cell>
          <cell r="B23">
            <v>4.7999999999999996E-3</v>
          </cell>
          <cell r="C23" t="str">
            <v>v</v>
          </cell>
          <cell r="D23">
            <v>1.15E-2</v>
          </cell>
        </row>
        <row r="24">
          <cell r="A24" t="str">
            <v>ц</v>
          </cell>
          <cell r="B24">
            <v>2.0999999999999999E-3</v>
          </cell>
          <cell r="C24" t="str">
            <v>w</v>
          </cell>
          <cell r="D24">
            <v>1.7999999999999999E-2</v>
          </cell>
        </row>
        <row r="25">
          <cell r="A25" t="str">
            <v>ч</v>
          </cell>
          <cell r="B25">
            <v>9.4000000000000004E-3</v>
          </cell>
          <cell r="C25" t="str">
            <v>x</v>
          </cell>
          <cell r="D25">
            <v>1.6999999999999999E-3</v>
          </cell>
        </row>
        <row r="26">
          <cell r="A26" t="str">
            <v>ш</v>
          </cell>
          <cell r="B26">
            <v>2.5999999999999999E-3</v>
          </cell>
          <cell r="C26" t="str">
            <v>y</v>
          </cell>
          <cell r="D26">
            <v>1.52E-2</v>
          </cell>
        </row>
        <row r="27">
          <cell r="A27" t="str">
            <v>щ</v>
          </cell>
          <cell r="B27">
            <v>4.1999999999999997E-3</v>
          </cell>
          <cell r="C27" t="str">
            <v>z</v>
          </cell>
          <cell r="D27">
            <v>5.0000000000000001E-4</v>
          </cell>
        </row>
        <row r="28">
          <cell r="A28" t="str">
            <v>ъ</v>
          </cell>
          <cell r="B28">
            <v>2.9999999999999997E-4</v>
          </cell>
        </row>
        <row r="29">
          <cell r="A29" t="str">
            <v>ы</v>
          </cell>
          <cell r="B29">
            <v>1.43E-2</v>
          </cell>
        </row>
        <row r="30">
          <cell r="A30" t="str">
            <v>ь</v>
          </cell>
          <cell r="B30">
            <v>1.38E-2</v>
          </cell>
        </row>
        <row r="31">
          <cell r="A31" t="str">
            <v>э</v>
          </cell>
          <cell r="B31">
            <v>2.3E-3</v>
          </cell>
        </row>
        <row r="32">
          <cell r="A32" t="str">
            <v>ю</v>
          </cell>
          <cell r="B32">
            <v>8.0999999999999996E-3</v>
          </cell>
        </row>
        <row r="33">
          <cell r="A33" t="str">
            <v>я</v>
          </cell>
          <cell r="B33">
            <v>1.5299999999999999E-2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zoomScale="160" zoomScaleNormal="160" workbookViewId="0">
      <selection activeCell="K1" sqref="K1"/>
    </sheetView>
  </sheetViews>
  <sheetFormatPr defaultRowHeight="15" x14ac:dyDescent="0.25"/>
  <sheetData>
    <row r="1" spans="1:12" ht="15.75" thickBot="1" x14ac:dyDescent="0.3">
      <c r="A1" s="8" t="s">
        <v>22</v>
      </c>
      <c r="B1" s="7">
        <v>0.40300000000000002</v>
      </c>
      <c r="C1" s="7">
        <v>0.29299999999999998</v>
      </c>
      <c r="D1" s="7">
        <v>0.315</v>
      </c>
      <c r="E1" s="7">
        <v>0.33300000000000002</v>
      </c>
    </row>
    <row r="2" spans="1:12" x14ac:dyDescent="0.25">
      <c r="A2" s="11" t="s">
        <v>45</v>
      </c>
      <c r="B2" s="7">
        <v>0.39800000000000002</v>
      </c>
      <c r="C2" s="7">
        <v>0.39400000000000002</v>
      </c>
      <c r="D2" s="7">
        <v>0.32400000000000001</v>
      </c>
      <c r="E2" s="7">
        <v>7.0999999999999994E-2</v>
      </c>
      <c r="K2" s="20" t="s">
        <v>26</v>
      </c>
      <c r="L2" s="21">
        <v>2</v>
      </c>
    </row>
    <row r="3" spans="1:12" x14ac:dyDescent="0.25">
      <c r="A3" s="11" t="s">
        <v>35</v>
      </c>
      <c r="B3" s="7">
        <v>0.111</v>
      </c>
      <c r="C3" s="7">
        <v>0.29399999999999998</v>
      </c>
      <c r="D3" s="7">
        <v>0.13</v>
      </c>
      <c r="E3" s="7">
        <v>0.497</v>
      </c>
      <c r="K3" s="22" t="s">
        <v>27</v>
      </c>
      <c r="L3" s="23">
        <v>1.9535904911973083</v>
      </c>
    </row>
    <row r="4" spans="1:12" x14ac:dyDescent="0.25">
      <c r="A4" s="11">
        <v>4</v>
      </c>
      <c r="B4" s="7">
        <v>8.7999999999999995E-2</v>
      </c>
      <c r="C4" s="7">
        <v>2.1000000000000001E-2</v>
      </c>
      <c r="D4" s="7">
        <v>0.23100000000000001</v>
      </c>
      <c r="E4" s="7">
        <v>9.9000000000000005E-2</v>
      </c>
      <c r="K4" s="22" t="s">
        <v>17</v>
      </c>
      <c r="L4" s="23">
        <v>1.9131833919248893</v>
      </c>
    </row>
    <row r="5" spans="1:12" x14ac:dyDescent="0.25">
      <c r="K5" s="22" t="s">
        <v>28</v>
      </c>
      <c r="L5" s="23">
        <v>1.7179792225840003</v>
      </c>
    </row>
    <row r="6" spans="1:12" x14ac:dyDescent="0.25">
      <c r="A6" s="8" t="s">
        <v>32</v>
      </c>
      <c r="B6" s="7">
        <v>0.158</v>
      </c>
      <c r="C6" s="7">
        <v>0.23799999999999999</v>
      </c>
      <c r="D6" s="7">
        <v>0.27600000000000002</v>
      </c>
      <c r="E6" s="7">
        <v>0.32800000000000001</v>
      </c>
      <c r="K6" s="22" t="s">
        <v>29</v>
      </c>
      <c r="L6" s="23">
        <v>1.6846213427596355</v>
      </c>
    </row>
    <row r="7" spans="1:12" x14ac:dyDescent="0.25">
      <c r="A7" s="10" t="s">
        <v>46</v>
      </c>
      <c r="B7" s="9">
        <f>$B$6*B1+$C$6*C1+$D$6*D1+$E$6*E1</f>
        <v>0.32957199999999998</v>
      </c>
      <c r="C7" s="9">
        <f>$B$6*B2+$C$6*C2+$D$6*D2+$E$6*E2</f>
        <v>0.269368</v>
      </c>
      <c r="D7" s="9">
        <f>$B$6*B3+$C$6*C3+$D$6*D3+$E$6*E3</f>
        <v>0.28640599999999999</v>
      </c>
      <c r="E7" s="9">
        <f>$B$6*B4+$C$6*C4+$D$6*D4+$E$6*E4</f>
        <v>0.11513000000000001</v>
      </c>
      <c r="H7" s="9"/>
      <c r="K7" s="22" t="s">
        <v>30</v>
      </c>
      <c r="L7" s="23">
        <v>1.9227605136746675</v>
      </c>
    </row>
    <row r="8" spans="1:12" x14ac:dyDescent="0.25">
      <c r="A8" s="10"/>
      <c r="B8" s="9"/>
      <c r="C8" s="9"/>
      <c r="D8" s="9"/>
      <c r="E8" s="9"/>
      <c r="H8" s="9"/>
      <c r="K8" s="22" t="s">
        <v>33</v>
      </c>
      <c r="L8" s="23">
        <v>1.630833222898187</v>
      </c>
    </row>
    <row r="9" spans="1:12" x14ac:dyDescent="0.25">
      <c r="B9" s="11" t="s">
        <v>47</v>
      </c>
      <c r="C9" s="11" t="s">
        <v>36</v>
      </c>
      <c r="H9" s="9"/>
      <c r="K9" s="22" t="s">
        <v>34</v>
      </c>
      <c r="L9" s="23">
        <v>1.7390485754791225</v>
      </c>
    </row>
    <row r="10" spans="1:12" ht="15.75" thickBot="1" x14ac:dyDescent="0.3">
      <c r="A10" t="s">
        <v>26</v>
      </c>
      <c r="B10">
        <f>LOG(A4,2)</f>
        <v>2</v>
      </c>
      <c r="C10">
        <v>2</v>
      </c>
      <c r="H10" s="9"/>
      <c r="K10" s="24" t="s">
        <v>48</v>
      </c>
      <c r="L10" s="25">
        <v>1.7379757956298789</v>
      </c>
    </row>
    <row r="11" spans="1:12" x14ac:dyDescent="0.25">
      <c r="A11" t="s">
        <v>27</v>
      </c>
      <c r="B11" s="9">
        <f>-B6*LOG(B6,2)-C6*LOG(C6,2)-D6*LOG(D6,2)-E6*LOG(E6,2)</f>
        <v>1.9535904911973083</v>
      </c>
      <c r="C11" t="s">
        <v>37</v>
      </c>
    </row>
    <row r="12" spans="1:12" x14ac:dyDescent="0.25">
      <c r="A12" t="s">
        <v>17</v>
      </c>
      <c r="B12" s="9">
        <f>-B7*LOG(B7,2)-C7*LOG(C7,2)-D7*LOG(D7,2)-E7*LOG(E7,2)</f>
        <v>1.9131833919248893</v>
      </c>
      <c r="C12" t="s">
        <v>38</v>
      </c>
    </row>
    <row r="13" spans="1:12" x14ac:dyDescent="0.25">
      <c r="A13" t="s">
        <v>28</v>
      </c>
      <c r="B13" s="9">
        <f>-B1*LOG(B1,2)-B2*LOG(B2,2)-B3*LOG(B3,2)-B4*LOG(B4,2)</f>
        <v>1.7179792225840003</v>
      </c>
      <c r="C13" t="s">
        <v>39</v>
      </c>
    </row>
    <row r="14" spans="1:12" x14ac:dyDescent="0.25">
      <c r="A14" t="s">
        <v>29</v>
      </c>
      <c r="B14" s="9">
        <f>-C1*LOG(C1,2)-C2*LOG(C2,2)-C3*LOG(C3,2)-C4*LOG(C4,2)</f>
        <v>1.6846213427596355</v>
      </c>
      <c r="C14" t="s">
        <v>40</v>
      </c>
    </row>
    <row r="15" spans="1:12" x14ac:dyDescent="0.25">
      <c r="A15" t="s">
        <v>30</v>
      </c>
      <c r="B15" s="9">
        <f>-D1*LOG(D1,2)-D2*LOG(D2,2)-D3*LOG(D3,2)-D4*LOG(D4,2)</f>
        <v>1.9227605136746675</v>
      </c>
      <c r="C15" t="s">
        <v>41</v>
      </c>
    </row>
    <row r="16" spans="1:12" x14ac:dyDescent="0.25">
      <c r="A16" t="s">
        <v>33</v>
      </c>
      <c r="B16" s="9">
        <f>-E1*LOG(E1,2)-E2*LOG(E2,2)-E3*LOG(E3,2)-E4*LOG(E4,2)</f>
        <v>1.630833222898187</v>
      </c>
      <c r="C16" t="s">
        <v>42</v>
      </c>
    </row>
    <row r="17" spans="1:3" x14ac:dyDescent="0.25">
      <c r="A17" t="s">
        <v>34</v>
      </c>
      <c r="B17" s="9">
        <f>SUM(B13:B16)/A4</f>
        <v>1.7390485754791225</v>
      </c>
      <c r="C17" t="s">
        <v>43</v>
      </c>
    </row>
    <row r="18" spans="1:3" x14ac:dyDescent="0.25">
      <c r="A18" t="s">
        <v>48</v>
      </c>
      <c r="B18" s="9">
        <f>B6*B13+C6*B14+D6*B15+E6*B16</f>
        <v>1.7379757956298789</v>
      </c>
      <c r="C18" t="s">
        <v>44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"/>
  <sheetViews>
    <sheetView zoomScale="160" zoomScaleNormal="160" workbookViewId="0">
      <selection activeCell="K1" sqref="K1"/>
    </sheetView>
  </sheetViews>
  <sheetFormatPr defaultRowHeight="15" x14ac:dyDescent="0.25"/>
  <cols>
    <col min="1" max="1" width="13.140625" style="1" customWidth="1"/>
    <col min="2" max="2" width="9.140625" style="1"/>
    <col min="3" max="3" width="10.42578125" style="1" customWidth="1"/>
    <col min="4" max="8" width="9.140625" style="1"/>
    <col min="9" max="9" width="10.140625" style="1" customWidth="1"/>
    <col min="10" max="11" width="9.140625" style="1"/>
    <col min="12" max="12" width="8" style="1" customWidth="1"/>
    <col min="13" max="16384" width="9.140625" style="1"/>
  </cols>
  <sheetData>
    <row r="1" spans="1:16" ht="15.75" thickBot="1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49</v>
      </c>
    </row>
    <row r="2" spans="1:16" x14ac:dyDescent="0.25">
      <c r="A2" s="1" t="s">
        <v>0</v>
      </c>
      <c r="B2" s="12">
        <v>0.41699999999999998</v>
      </c>
      <c r="C2" s="13">
        <v>0.152</v>
      </c>
      <c r="D2" s="13">
        <v>0.128</v>
      </c>
      <c r="E2" s="14">
        <v>0.30299999999999999</v>
      </c>
      <c r="F2" s="1">
        <f>SUM(B2:E2)</f>
        <v>1</v>
      </c>
      <c r="H2" s="1" t="s">
        <v>7</v>
      </c>
      <c r="I2" s="2">
        <v>0.311</v>
      </c>
      <c r="K2" s="12" t="s">
        <v>53</v>
      </c>
      <c r="L2" s="26">
        <v>2</v>
      </c>
      <c r="N2" s="1" t="s">
        <v>23</v>
      </c>
      <c r="O2" s="1">
        <f>I2*B2+I3*B3+I4*B4+I5*B5</f>
        <v>0.410636</v>
      </c>
      <c r="P2" s="1">
        <f>-O2*LOG(O2,2)</f>
        <v>0.52728454003380443</v>
      </c>
    </row>
    <row r="3" spans="1:16" x14ac:dyDescent="0.25">
      <c r="A3" s="1" t="s">
        <v>6</v>
      </c>
      <c r="B3" s="15">
        <v>3.3000000000000002E-2</v>
      </c>
      <c r="C3" s="5">
        <v>7.6999999999999999E-2</v>
      </c>
      <c r="D3" s="5">
        <v>0.46300000000000002</v>
      </c>
      <c r="E3" s="16">
        <v>0.42699999999999999</v>
      </c>
      <c r="F3" s="1">
        <f t="shared" ref="F3:F5" si="0">SUM(B3:E3)</f>
        <v>1</v>
      </c>
      <c r="H3" s="1" t="s">
        <v>10</v>
      </c>
      <c r="I3" s="2">
        <v>0.23499999999999999</v>
      </c>
      <c r="K3" s="15" t="s">
        <v>17</v>
      </c>
      <c r="L3" s="27">
        <v>1.9815859443136197</v>
      </c>
      <c r="N3" s="1" t="s">
        <v>24</v>
      </c>
      <c r="O3" s="1">
        <f>I2*C2+I3*C3+I4*C4+I5*C5</f>
        <v>0.14008300000000001</v>
      </c>
      <c r="P3" s="1">
        <f t="shared" ref="P3:P5" si="1">-O3*LOG(O3,2)</f>
        <v>0.39722582790878563</v>
      </c>
    </row>
    <row r="4" spans="1:16" x14ac:dyDescent="0.25">
      <c r="A4" s="1" t="s">
        <v>9</v>
      </c>
      <c r="B4" s="15">
        <v>0.81100000000000005</v>
      </c>
      <c r="C4" s="5">
        <v>5.3999999999999999E-2</v>
      </c>
      <c r="D4" s="5">
        <v>0.106</v>
      </c>
      <c r="E4" s="16">
        <v>2.9000000000000001E-2</v>
      </c>
      <c r="F4" s="1">
        <f t="shared" si="0"/>
        <v>1</v>
      </c>
      <c r="H4" s="1" t="s">
        <v>11</v>
      </c>
      <c r="I4" s="2">
        <v>0.254</v>
      </c>
      <c r="K4" s="15" t="s">
        <v>27</v>
      </c>
      <c r="L4" s="16">
        <v>1.8919791195260161</v>
      </c>
      <c r="N4" s="1" t="s">
        <v>25</v>
      </c>
      <c r="O4" s="1">
        <f>I2*D2+I3*D3+I4*D4+I5*D5</f>
        <v>0.21653700000000001</v>
      </c>
      <c r="P4" s="1">
        <f t="shared" si="1"/>
        <v>0.47796526712302517</v>
      </c>
    </row>
    <row r="5" spans="1:16" ht="15.75" thickBot="1" x14ac:dyDescent="0.3">
      <c r="A5" s="1" t="s">
        <v>50</v>
      </c>
      <c r="B5" s="17">
        <v>0.33600000000000002</v>
      </c>
      <c r="C5" s="18">
        <v>0.30499999999999999</v>
      </c>
      <c r="D5" s="18">
        <v>0.20499999999999999</v>
      </c>
      <c r="E5" s="19">
        <v>0.154</v>
      </c>
      <c r="F5" s="1">
        <f t="shared" si="0"/>
        <v>1</v>
      </c>
      <c r="H5" s="1" t="s">
        <v>51</v>
      </c>
      <c r="I5" s="2">
        <v>0.2</v>
      </c>
      <c r="K5" s="15" t="s">
        <v>18</v>
      </c>
      <c r="L5" s="27">
        <v>1.8408897954999333</v>
      </c>
      <c r="N5" s="1" t="s">
        <v>52</v>
      </c>
      <c r="O5" s="1">
        <f>I2*E2+I3*E3+I4*E4+I5*E5</f>
        <v>0.23274399999999998</v>
      </c>
      <c r="P5" s="1">
        <f t="shared" si="1"/>
        <v>0.48950348446040071</v>
      </c>
    </row>
    <row r="6" spans="1:16" x14ac:dyDescent="0.25">
      <c r="I6" s="1" t="str">
        <f>IF(SUM(I2:I5)=1,"полная","неполная")</f>
        <v>полная</v>
      </c>
      <c r="K6" s="15" t="s">
        <v>19</v>
      </c>
      <c r="L6" s="27">
        <v>1.4858072587823119</v>
      </c>
      <c r="P6" s="4">
        <f>SUM(P2:P5)</f>
        <v>1.8919791195260161</v>
      </c>
    </row>
    <row r="7" spans="1:16" x14ac:dyDescent="0.25">
      <c r="B7" s="1" t="s">
        <v>12</v>
      </c>
      <c r="C7" s="1" t="str">
        <f>IF(SUM(F2:F5)=I7,"корректна","некорректна")</f>
        <v>корректна</v>
      </c>
      <c r="H7" s="1" t="s">
        <v>8</v>
      </c>
      <c r="I7" s="1">
        <v>4</v>
      </c>
      <c r="K7" s="15" t="s">
        <v>20</v>
      </c>
      <c r="L7" s="27">
        <v>0.96383371998265244</v>
      </c>
    </row>
    <row r="8" spans="1:16" x14ac:dyDescent="0.25">
      <c r="A8" s="1" t="s">
        <v>15</v>
      </c>
      <c r="B8" s="4"/>
      <c r="K8" s="15" t="s">
        <v>55</v>
      </c>
      <c r="L8" s="27">
        <v>1.9355241260454665</v>
      </c>
    </row>
    <row r="9" spans="1:16" x14ac:dyDescent="0.25">
      <c r="A9" s="1" t="s">
        <v>53</v>
      </c>
      <c r="B9" s="3">
        <f>LOG(I7,2)</f>
        <v>2</v>
      </c>
      <c r="C9" s="1" t="s">
        <v>54</v>
      </c>
      <c r="K9" s="15" t="s">
        <v>56</v>
      </c>
      <c r="L9" s="27">
        <v>1.5565137250775911</v>
      </c>
    </row>
    <row r="10" spans="1:16" ht="15.75" thickBot="1" x14ac:dyDescent="0.3">
      <c r="A10" s="1" t="s">
        <v>17</v>
      </c>
      <c r="B10" s="3">
        <f>IF(I5=0,-I2*LOG(I2,2)-I3*LOG(I3,2)-I4*LOG(I4,2),-I2*LOG(I2,2)-I3*LOG(I3,2)-I4*LOG(I4,2)-I5*LOG(I5,2))</f>
        <v>1.9815859443136197</v>
      </c>
      <c r="K10" s="17" t="s">
        <v>57</v>
      </c>
      <c r="L10" s="28">
        <v>1.5536000222990096</v>
      </c>
    </row>
    <row r="11" spans="1:16" x14ac:dyDescent="0.25">
      <c r="A11" s="1" t="s">
        <v>18</v>
      </c>
      <c r="B11" s="3">
        <f>-IF(B2=0,0,B2*LOG(B2,2))-IF(C2=0,0,C2*LOG(C2,2))-IF(D2=0,0,D2*LOG(D2,2))-IF(E2=0,0,E2*LOG(E2,2))</f>
        <v>1.8408897954999333</v>
      </c>
      <c r="E11" s="4">
        <f>-IF(B2=0,0,B2*LOG(B2,2))-IF(B3=0,0,B3*LOG(B3,2))-IF(B4=0,0,B4*LOG(B4,2))-IF(B5=0,0,B5*LOG(B5,2))</f>
        <v>1.4624004299662272</v>
      </c>
    </row>
    <row r="12" spans="1:16" x14ac:dyDescent="0.25">
      <c r="A12" s="1" t="s">
        <v>19</v>
      </c>
      <c r="B12" s="3">
        <f>-IF(B3=0,0,B3*LOG(B3,2))-IF(C3=0,0,C3*LOG(C3,2))-IF(D3=0,0,D3*LOG(D3,2))-IF(E3=0,0,E3*LOG(E3,2))</f>
        <v>1.4858072587823119</v>
      </c>
    </row>
    <row r="13" spans="1:16" x14ac:dyDescent="0.25">
      <c r="A13" s="1" t="s">
        <v>20</v>
      </c>
      <c r="B13" s="3">
        <f t="shared" ref="B13:B14" si="2">-IF(B4=0,0,B4*LOG(B4,2))-IF(C4=0,0,C4*LOG(C4,2))-IF(D4=0,0,D4*LOG(D4,2))-IF(E4=0,0,E4*LOG(E4,2))</f>
        <v>0.96383371998265244</v>
      </c>
    </row>
    <row r="14" spans="1:16" x14ac:dyDescent="0.25">
      <c r="A14" s="1" t="s">
        <v>55</v>
      </c>
      <c r="B14" s="3">
        <f t="shared" si="2"/>
        <v>1.9355241260454665</v>
      </c>
    </row>
    <row r="15" spans="1:16" x14ac:dyDescent="0.25">
      <c r="A15" s="1" t="s">
        <v>56</v>
      </c>
      <c r="B15" s="3">
        <f>SUM(B11:B14)/I7</f>
        <v>1.5565137250775911</v>
      </c>
    </row>
    <row r="16" spans="1:16" x14ac:dyDescent="0.25">
      <c r="A16" s="1" t="s">
        <v>57</v>
      </c>
      <c r="B16" s="3">
        <f>I2*B11+I3*B12+I4*B13+I5*B14</f>
        <v>1.5536000222990096</v>
      </c>
    </row>
    <row r="18" spans="1:2" x14ac:dyDescent="0.25">
      <c r="A18" s="1" t="s">
        <v>27</v>
      </c>
      <c r="B18" s="4">
        <f>-O2*LOG(O2,2)-O3*LOG(O3,2)-O4*LOG(O4,2)-IF(O5=0,0,O5*LOG(O5,2))</f>
        <v>1.8919791195260161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W35"/>
  <sheetViews>
    <sheetView tabSelected="1" zoomScaleNormal="100" workbookViewId="0">
      <selection activeCell="V4" sqref="V4"/>
    </sheetView>
  </sheetViews>
  <sheetFormatPr defaultColWidth="8.85546875" defaultRowHeight="15" x14ac:dyDescent="0.25"/>
  <cols>
    <col min="1" max="1" width="8.85546875" style="1"/>
    <col min="2" max="2" width="11.85546875" style="1" customWidth="1"/>
    <col min="3" max="3" width="9.5703125" style="1" bestFit="1" customWidth="1"/>
    <col min="4" max="9" width="8.85546875" style="1"/>
    <col min="10" max="10" width="10.85546875" style="1" customWidth="1"/>
    <col min="11" max="22" width="8.85546875" style="1"/>
    <col min="23" max="23" width="9.140625" style="1" customWidth="1"/>
    <col min="24" max="16384" width="8.85546875" style="1"/>
  </cols>
  <sheetData>
    <row r="2" spans="1:23" x14ac:dyDescent="0.25">
      <c r="B2" s="2">
        <v>0.3</v>
      </c>
      <c r="C2" s="2">
        <v>0</v>
      </c>
      <c r="D2" s="2">
        <v>0</v>
      </c>
      <c r="F2" s="2">
        <f>SUM(B2:E2)</f>
        <v>0.3</v>
      </c>
      <c r="G2" s="2" t="s">
        <v>0</v>
      </c>
      <c r="J2" s="2" t="s">
        <v>1</v>
      </c>
      <c r="K2" s="2" t="s">
        <v>2</v>
      </c>
      <c r="L2" s="2" t="s">
        <v>3</v>
      </c>
      <c r="M2" s="2" t="s">
        <v>4</v>
      </c>
    </row>
    <row r="3" spans="1:23" x14ac:dyDescent="0.25">
      <c r="A3" s="1" t="s">
        <v>5</v>
      </c>
      <c r="B3" s="2">
        <v>0.2</v>
      </c>
      <c r="C3" s="2">
        <v>0.3</v>
      </c>
      <c r="D3" s="2">
        <v>0.1</v>
      </c>
      <c r="F3" s="2">
        <f t="shared" ref="F3:F4" si="0">SUM(B3:E3)</f>
        <v>0.6</v>
      </c>
      <c r="G3" s="2" t="s">
        <v>6</v>
      </c>
      <c r="J3" s="2" t="s">
        <v>0</v>
      </c>
      <c r="K3" s="3">
        <f>B2/F2</f>
        <v>1</v>
      </c>
      <c r="L3" s="3">
        <f>C2/F2</f>
        <v>0</v>
      </c>
      <c r="M3" s="2">
        <f>D2/F2</f>
        <v>0</v>
      </c>
      <c r="P3" s="2" t="s">
        <v>7</v>
      </c>
      <c r="Q3" s="2">
        <v>0.3</v>
      </c>
      <c r="S3" s="2" t="s">
        <v>8</v>
      </c>
      <c r="T3" s="2">
        <v>3</v>
      </c>
    </row>
    <row r="4" spans="1:23" ht="15.75" thickBot="1" x14ac:dyDescent="0.3">
      <c r="B4" s="2">
        <v>0</v>
      </c>
      <c r="C4" s="2">
        <v>0.1</v>
      </c>
      <c r="D4" s="2">
        <v>0</v>
      </c>
      <c r="F4" s="2">
        <f t="shared" si="0"/>
        <v>0.1</v>
      </c>
      <c r="G4" s="2" t="s">
        <v>9</v>
      </c>
      <c r="J4" s="2" t="s">
        <v>6</v>
      </c>
      <c r="K4" s="3">
        <f>B3/F3</f>
        <v>0.33333333333333337</v>
      </c>
      <c r="L4" s="3">
        <f t="shared" ref="L4:L5" si="1">C3/F3</f>
        <v>0.5</v>
      </c>
      <c r="M4" s="3">
        <f t="shared" ref="M4:M5" si="2">D3/F3</f>
        <v>0.16666666666666669</v>
      </c>
      <c r="P4" s="2" t="s">
        <v>10</v>
      </c>
      <c r="Q4" s="2">
        <v>0.4</v>
      </c>
    </row>
    <row r="5" spans="1:23" x14ac:dyDescent="0.25">
      <c r="J5" s="2" t="s">
        <v>9</v>
      </c>
      <c r="K5" s="3">
        <f>B4/F4</f>
        <v>0</v>
      </c>
      <c r="L5" s="3">
        <f t="shared" si="1"/>
        <v>1</v>
      </c>
      <c r="M5" s="3">
        <f t="shared" si="2"/>
        <v>0</v>
      </c>
      <c r="N5" s="4"/>
      <c r="P5" s="2" t="s">
        <v>11</v>
      </c>
      <c r="Q5" s="2">
        <v>0.3</v>
      </c>
      <c r="V5" s="12" t="s">
        <v>26</v>
      </c>
      <c r="W5" s="26">
        <v>1.5849625007211563</v>
      </c>
    </row>
    <row r="6" spans="1:23" x14ac:dyDescent="0.25">
      <c r="B6" s="2" t="s">
        <v>2</v>
      </c>
      <c r="C6" s="2" t="s">
        <v>3</v>
      </c>
      <c r="D6" s="2" t="s">
        <v>4</v>
      </c>
      <c r="F6" s="1" t="s">
        <v>17</v>
      </c>
      <c r="G6" s="3">
        <f>IF(Q6=0,-F2*LOG(F2,2)-F3*LOG(F3,2)-F4*LOG(F4,2),-F2*LOG(F2,2)-F3*LOG(F3,2)-F4*LOG(F4,2)-Q6*LOG(Q6,2))</f>
        <v>1.2954618442383219</v>
      </c>
      <c r="Q6" s="1">
        <v>0</v>
      </c>
      <c r="V6" s="15" t="s">
        <v>27</v>
      </c>
      <c r="W6" s="27">
        <v>1.3609640474436813</v>
      </c>
    </row>
    <row r="7" spans="1:23" x14ac:dyDescent="0.25">
      <c r="B7" s="2">
        <f>SUM(B2:B5)</f>
        <v>0.5</v>
      </c>
      <c r="C7" s="2">
        <f>SUM(C2:C5)</f>
        <v>0.4</v>
      </c>
      <c r="D7" s="2">
        <f>SUM(D2:D5)</f>
        <v>0.1</v>
      </c>
      <c r="F7" s="1" t="s">
        <v>27</v>
      </c>
      <c r="G7" s="4">
        <f>-B7*LOG(B7,2)-C7*LOG(C7,2)-D7*LOG(D7,2)</f>
        <v>1.3609640474436813</v>
      </c>
      <c r="V7" s="15" t="s">
        <v>17</v>
      </c>
      <c r="W7" s="27">
        <v>1.2954618442383219</v>
      </c>
    </row>
    <row r="8" spans="1:23" x14ac:dyDescent="0.25">
      <c r="V8" s="15" t="s">
        <v>16</v>
      </c>
      <c r="W8" s="27">
        <v>2.1546097612655664</v>
      </c>
    </row>
    <row r="9" spans="1:23" x14ac:dyDescent="0.25">
      <c r="B9" s="2" t="s">
        <v>13</v>
      </c>
      <c r="C9" s="2" t="s">
        <v>14</v>
      </c>
      <c r="V9" s="15" t="s">
        <v>18</v>
      </c>
      <c r="W9" s="27">
        <v>0</v>
      </c>
    </row>
    <row r="10" spans="1:23" x14ac:dyDescent="0.25">
      <c r="A10" s="5" t="s">
        <v>16</v>
      </c>
      <c r="B10" s="3">
        <f>K11+K16</f>
        <v>2.1546097612655664</v>
      </c>
      <c r="C10" s="3">
        <f>K29+K34</f>
        <v>2.1332062193464951</v>
      </c>
      <c r="J10" s="1" t="s">
        <v>15</v>
      </c>
      <c r="K10" s="1" t="s">
        <v>12</v>
      </c>
      <c r="V10" s="15" t="s">
        <v>19</v>
      </c>
      <c r="W10" s="27">
        <v>1.459147917027245</v>
      </c>
    </row>
    <row r="11" spans="1:23" x14ac:dyDescent="0.25">
      <c r="J11" s="1" t="s">
        <v>17</v>
      </c>
      <c r="K11" s="3">
        <f>IF(Q6=0,-Q3*LOG(Q3,2)-Q4*LOG(Q4,2)-Q5*LOG(Q5,2),-Q3*LOG(Q3,2)-Q4*LOG(Q4,2)-Q5*LOG(Q5,2)-Q6*LOG(Q6,2))</f>
        <v>1.5709505944546684</v>
      </c>
      <c r="V11" s="15" t="s">
        <v>20</v>
      </c>
      <c r="W11" s="27">
        <v>0</v>
      </c>
    </row>
    <row r="12" spans="1:23" x14ac:dyDescent="0.25">
      <c r="B12" s="4">
        <f>G6+K16</f>
        <v>1.8791210110492198</v>
      </c>
      <c r="C12" s="4">
        <f>G7+K34</f>
        <v>2.0086949695628422</v>
      </c>
      <c r="J12" s="1" t="s">
        <v>18</v>
      </c>
      <c r="K12" s="3">
        <f>-IF(K3=0,0,K3*LOG(K3,2))-IF(L3=0,0,L3*LOG(L3,2))-IF(M3=0,0,M3*LOG(M3,2))-IF(N3=0,0,N3*LOG(N3,2))</f>
        <v>0</v>
      </c>
      <c r="V12" s="15" t="s">
        <v>28</v>
      </c>
      <c r="W12" s="27">
        <v>0.97095059445466858</v>
      </c>
    </row>
    <row r="13" spans="1:23" x14ac:dyDescent="0.25">
      <c r="J13" s="1" t="s">
        <v>19</v>
      </c>
      <c r="K13" s="3">
        <f>-IF(K4=0,0,K4*LOG(K4,2))-IF(L4=0,0,L4*LOG(L4,2))-IF(M4=0,0,M4*LOG(M4,2))-IF(N4=0,0,N4*LOG(N4,2))</f>
        <v>1.459147917027245</v>
      </c>
      <c r="V13" s="15" t="s">
        <v>29</v>
      </c>
      <c r="W13" s="27">
        <v>0.81127812445913294</v>
      </c>
    </row>
    <row r="14" spans="1:23" x14ac:dyDescent="0.25">
      <c r="J14" s="1" t="s">
        <v>20</v>
      </c>
      <c r="K14" s="3">
        <f t="shared" ref="K14" si="3">-IF(K5=0,0,K5*LOG(K5,2))-IF(L5=0,0,L5*LOG(L5,2))-IF(M5=0,0,M5*LOG(M5,2))-IF(N5=0,0,N5*LOG(N5,2))</f>
        <v>0</v>
      </c>
      <c r="V14" s="15" t="s">
        <v>30</v>
      </c>
      <c r="W14" s="27">
        <v>0</v>
      </c>
    </row>
    <row r="15" spans="1:23" x14ac:dyDescent="0.25">
      <c r="K15" s="3"/>
      <c r="V15" s="15" t="s">
        <v>21</v>
      </c>
      <c r="W15" s="27">
        <v>0.58365916681089802</v>
      </c>
    </row>
    <row r="16" spans="1:23" ht="15.75" thickBot="1" x14ac:dyDescent="0.3">
      <c r="J16" s="1" t="s">
        <v>21</v>
      </c>
      <c r="K16" s="3">
        <f>Q3*K12+Q4*K13+Q5*K14+Q6*K15</f>
        <v>0.58365916681089802</v>
      </c>
      <c r="V16" s="17" t="s">
        <v>31</v>
      </c>
      <c r="W16" s="28">
        <v>0.64773092211916095</v>
      </c>
    </row>
    <row r="17" spans="10:20" x14ac:dyDescent="0.25">
      <c r="K17" s="3"/>
    </row>
    <row r="20" spans="10:20" x14ac:dyDescent="0.25">
      <c r="J20" s="2" t="s">
        <v>22</v>
      </c>
      <c r="K20" s="2" t="s">
        <v>2</v>
      </c>
      <c r="L20" s="2" t="s">
        <v>3</v>
      </c>
      <c r="M20" s="2" t="s">
        <v>4</v>
      </c>
    </row>
    <row r="21" spans="10:20" x14ac:dyDescent="0.25">
      <c r="J21" s="2" t="s">
        <v>0</v>
      </c>
      <c r="K21" s="3">
        <f>B2/B7</f>
        <v>0.6</v>
      </c>
      <c r="L21" s="2">
        <f>C2/C7</f>
        <v>0</v>
      </c>
      <c r="M21" s="2">
        <f>D2/D7</f>
        <v>0</v>
      </c>
      <c r="P21" s="2" t="s">
        <v>23</v>
      </c>
      <c r="Q21" s="2">
        <v>0.5</v>
      </c>
      <c r="S21" s="2" t="s">
        <v>8</v>
      </c>
      <c r="T21" s="2">
        <v>3</v>
      </c>
    </row>
    <row r="22" spans="10:20" x14ac:dyDescent="0.25">
      <c r="J22" s="2" t="s">
        <v>6</v>
      </c>
      <c r="K22" s="3">
        <f>B3/B7</f>
        <v>0.4</v>
      </c>
      <c r="L22" s="3">
        <f>C3/C7</f>
        <v>0.74999999999999989</v>
      </c>
      <c r="M22" s="3">
        <f>D3/D7</f>
        <v>1</v>
      </c>
      <c r="P22" s="2" t="s">
        <v>24</v>
      </c>
      <c r="Q22" s="2">
        <v>0.2</v>
      </c>
    </row>
    <row r="23" spans="10:20" x14ac:dyDescent="0.25">
      <c r="J23" s="2" t="s">
        <v>9</v>
      </c>
      <c r="K23" s="2">
        <f>B4/B7</f>
        <v>0</v>
      </c>
      <c r="L23" s="3">
        <f>C4/C7</f>
        <v>0.25</v>
      </c>
      <c r="M23" s="3">
        <f>D4/D7</f>
        <v>0</v>
      </c>
      <c r="P23" s="2" t="s">
        <v>25</v>
      </c>
      <c r="Q23" s="2">
        <v>0.3</v>
      </c>
    </row>
    <row r="28" spans="10:20" x14ac:dyDescent="0.25">
      <c r="J28" s="1" t="s">
        <v>26</v>
      </c>
      <c r="K28" s="3">
        <f>LOG(T21,2)</f>
        <v>1.5849625007211563</v>
      </c>
    </row>
    <row r="29" spans="10:20" x14ac:dyDescent="0.25">
      <c r="J29" s="1" t="s">
        <v>27</v>
      </c>
      <c r="K29" s="3">
        <f>IF(Q24=0,-Q21*LOG(Q21,2)-Q22*LOG(Q22,2)-Q23*LOG(Q23,2),-Q21*LOG(Q21,2)-Q22*LOG(Q22,2)-Q23*LOG(Q23,2)-Q24*LOG(Q24,2))</f>
        <v>1.4854752972273344</v>
      </c>
    </row>
    <row r="30" spans="10:20" x14ac:dyDescent="0.25">
      <c r="J30" s="1" t="s">
        <v>28</v>
      </c>
      <c r="K30" s="3">
        <f>-IF(K21=0,0,K21*LOG(K21,2))-IF(K22=0,0,K22*LOG(K22,2))-IF(K23=0,0,K23*LOG(K23,2))-IF(K24=0,0,K24*LOG(K24,2))</f>
        <v>0.97095059445466858</v>
      </c>
    </row>
    <row r="31" spans="10:20" x14ac:dyDescent="0.25">
      <c r="J31" s="1" t="s">
        <v>29</v>
      </c>
      <c r="K31" s="3">
        <f>-IF(L21=0,0,L21*LOG(L21,2))-IF(L22=0,0,L22*LOG(L22,2))-IF(L23=0,0,L23*LOG(L23,2))-IF(L24=0,0,L24*LOG(L24,2))</f>
        <v>0.81127812445913294</v>
      </c>
    </row>
    <row r="32" spans="10:20" x14ac:dyDescent="0.25">
      <c r="J32" s="1" t="s">
        <v>30</v>
      </c>
      <c r="K32" s="3">
        <f>-IF(M21=0,0,M21*LOG(M21,2))-IF(M22=0,0,M22*LOG(M22,2))-IF(M23=0,0,M23*LOG(M23,2))-IF(M24=0,0,M24*LOG(M24,2))</f>
        <v>0</v>
      </c>
    </row>
    <row r="33" spans="10:11" x14ac:dyDescent="0.25">
      <c r="K33" s="6"/>
    </row>
    <row r="34" spans="10:11" x14ac:dyDescent="0.25">
      <c r="J34" s="2" t="s">
        <v>31</v>
      </c>
      <c r="K34" s="3">
        <f>Q21*K30+Q22*K31+Q23*K32+Q24*K33</f>
        <v>0.64773092211916095</v>
      </c>
    </row>
    <row r="35" spans="10:11" x14ac:dyDescent="0.25">
      <c r="K35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a|b</vt:lpstr>
      <vt:lpstr>b|a</vt:lpstr>
      <vt:lpstr>a,b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cast0m ♫</dc:creator>
  <cp:lastModifiedBy>cast0m ♫</cp:lastModifiedBy>
  <dcterms:created xsi:type="dcterms:W3CDTF">2026-04-15T09:00:41Z</dcterms:created>
  <dcterms:modified xsi:type="dcterms:W3CDTF">2026-04-15T15:16:54Z</dcterms:modified>
</cp:coreProperties>
</file>